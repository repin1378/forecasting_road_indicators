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_iva\Desktop\REPO\forecasting_road_indicators\examples\"/>
    </mc:Choice>
  </mc:AlternateContent>
  <xr:revisionPtr revIDLastSave="0" documentId="13_ncr:1_{22F3BA2F-CDEF-495D-95D6-C609DCAD9B4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J3" i="1"/>
  <c r="L3" i="1" s="1"/>
  <c r="J4" i="1"/>
  <c r="L4" i="1" s="1"/>
  <c r="J5" i="1"/>
  <c r="L5" i="1" s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16" i="1"/>
  <c r="L16" i="1" s="1"/>
  <c r="J17" i="1"/>
  <c r="L17" i="1" s="1"/>
  <c r="L2" i="1"/>
  <c r="I1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</calcChain>
</file>

<file path=xl/sharedStrings.xml><?xml version="1.0" encoding="utf-8"?>
<sst xmlns="http://schemas.openxmlformats.org/spreadsheetml/2006/main" count="28" uniqueCount="28">
  <si>
    <t>ROAD_NAME</t>
  </si>
  <si>
    <t>Октябрьская</t>
  </si>
  <si>
    <t>Калининградская</t>
  </si>
  <si>
    <t>Московская</t>
  </si>
  <si>
    <t>Горьковская</t>
  </si>
  <si>
    <t>Северная</t>
  </si>
  <si>
    <t>Северо-Кавказская</t>
  </si>
  <si>
    <t>Юго-Восточная</t>
  </si>
  <si>
    <t>Приволжская</t>
  </si>
  <si>
    <t>Куйбышевская</t>
  </si>
  <si>
    <t>Свердловская</t>
  </si>
  <si>
    <t>Южно-Уральская</t>
  </si>
  <si>
    <t>Западно-Сибирская</t>
  </si>
  <si>
    <t>Красноярская</t>
  </si>
  <si>
    <t>Восточно-Сибирская</t>
  </si>
  <si>
    <t>Забайкальская</t>
  </si>
  <si>
    <t>Дальневосточная</t>
  </si>
  <si>
    <t>YEAR</t>
  </si>
  <si>
    <t>TRAIN_KM</t>
  </si>
  <si>
    <t>LOSS_12_COUNT</t>
  </si>
  <si>
    <t>LOSS_12_SUM</t>
  </si>
  <si>
    <t>LOSS_3_COUNT</t>
  </si>
  <si>
    <t>LOSS_3_SUM</t>
  </si>
  <si>
    <t>LOSS_TECH_COUNT</t>
  </si>
  <si>
    <t>LOSS_TECH_SUM</t>
  </si>
  <si>
    <t>LOSS_COUNT_TOTAL</t>
  </si>
  <si>
    <t>LOSS_SUM_TOTAL</t>
  </si>
  <si>
    <t>SPECIFIC_LOSS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</si>
</sst>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topLeftCell="E1" workbookViewId="0">
      <selection activeCell="N15" sqref="N15"/>
    </sheetView>
  </sheetViews>
  <sheetFormatPr defaultRowHeight="15" x14ac:dyDescent="0.25"/>
  <cols>
    <col min="1" max="1" width="23.7109375" customWidth="1"/>
    <col min="2" max="4" width="18.28515625" customWidth="1"/>
    <col min="5" max="5" width="18.42578125" customWidth="1"/>
    <col min="6" max="6" width="18" customWidth="1"/>
    <col min="7" max="7" width="18.42578125" customWidth="1"/>
    <col min="8" max="8" width="18.28515625" customWidth="1"/>
    <col min="9" max="9" width="24.42578125" customWidth="1"/>
    <col min="10" max="10" width="28.140625" customWidth="1"/>
    <col min="11" max="11" width="17.7109375" customWidth="1"/>
    <col min="12" max="12" width="17.85546875" style="1" customWidth="1"/>
  </cols>
  <sheetData>
    <row r="1" spans="1:13" x14ac:dyDescent="0.25">
      <c r="A1" s="1" t="s">
        <v>0</v>
      </c>
      <c r="B1" s="1" t="s">
        <v>17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18</v>
      </c>
      <c r="L1" s="1" t="s">
        <v>27</v>
      </c>
      <c r="M1" s="1"/>
    </row>
    <row r="2" spans="1:13" x14ac:dyDescent="0.25">
      <c r="A2" s="1" t="s">
        <v>1</v>
      </c>
      <c r="B2" s="1">
        <v>2024</v>
      </c>
      <c r="C2" s="1">
        <v>4654</v>
      </c>
      <c r="D2" s="2">
        <v>13119.13</v>
      </c>
      <c r="E2" s="1">
        <v>23548</v>
      </c>
      <c r="F2" s="2">
        <v>1133.9000000000001</v>
      </c>
      <c r="G2" s="1">
        <v>21772</v>
      </c>
      <c r="H2" s="2">
        <v>14135.17</v>
      </c>
      <c r="I2" s="1">
        <f>$C2+$E2+$G2</f>
        <v>49974</v>
      </c>
      <c r="J2" s="2">
        <f>$D2+$F2+$H2</f>
        <v>28388.199999999997</v>
      </c>
      <c r="K2" s="2">
        <v>155222092.69999999</v>
      </c>
      <c r="L2" s="1">
        <f>$J2/$K2*1000000</f>
        <v>182.88762576385494</v>
      </c>
    </row>
    <row r="3" spans="1:13" x14ac:dyDescent="0.25">
      <c r="A3" s="1" t="s">
        <v>2</v>
      </c>
      <c r="B3" s="1">
        <v>2024</v>
      </c>
      <c r="C3" s="1">
        <v>38</v>
      </c>
      <c r="D3" s="2">
        <v>23.05</v>
      </c>
      <c r="E3" s="1">
        <v>122</v>
      </c>
      <c r="F3" s="2">
        <v>13.13</v>
      </c>
      <c r="G3" s="1">
        <v>31</v>
      </c>
      <c r="H3" s="2">
        <v>11.08</v>
      </c>
      <c r="I3" s="1">
        <f t="shared" ref="I2:I17" si="0">$C3+$E3+$G3</f>
        <v>191</v>
      </c>
      <c r="J3" s="2">
        <f t="shared" ref="J3:J17" si="1">$D3+$F3+$H3</f>
        <v>47.26</v>
      </c>
      <c r="K3" s="2">
        <v>2472033.2999999998</v>
      </c>
      <c r="L3" s="1">
        <f t="shared" ref="L3:L17" si="2">$J3/$K3*1000000</f>
        <v>19.117865442993828</v>
      </c>
    </row>
    <row r="4" spans="1:13" x14ac:dyDescent="0.25">
      <c r="A4" s="1" t="s">
        <v>3</v>
      </c>
      <c r="B4" s="1">
        <v>2024</v>
      </c>
      <c r="C4" s="1">
        <v>3259</v>
      </c>
      <c r="D4" s="2">
        <v>10907.25</v>
      </c>
      <c r="E4" s="1">
        <v>34191</v>
      </c>
      <c r="F4" s="2">
        <v>3492.77</v>
      </c>
      <c r="G4" s="1">
        <v>29443</v>
      </c>
      <c r="H4" s="2">
        <v>14387.22</v>
      </c>
      <c r="I4" s="1">
        <f t="shared" si="0"/>
        <v>66893</v>
      </c>
      <c r="J4" s="2">
        <f t="shared" si="1"/>
        <v>28787.239999999998</v>
      </c>
      <c r="K4" s="2">
        <v>191687550.09999999</v>
      </c>
      <c r="L4" s="1">
        <f t="shared" si="2"/>
        <v>150.17793270863032</v>
      </c>
    </row>
    <row r="5" spans="1:13" x14ac:dyDescent="0.25">
      <c r="A5" s="1" t="s">
        <v>4</v>
      </c>
      <c r="B5" s="1">
        <v>2024</v>
      </c>
      <c r="C5" s="1">
        <v>2193</v>
      </c>
      <c r="D5" s="2">
        <v>7516.07</v>
      </c>
      <c r="E5" s="1">
        <v>19342</v>
      </c>
      <c r="F5" s="2">
        <v>929.05</v>
      </c>
      <c r="G5" s="1">
        <v>14289</v>
      </c>
      <c r="H5" s="2">
        <v>6240.07</v>
      </c>
      <c r="I5" s="1">
        <f t="shared" si="0"/>
        <v>35824</v>
      </c>
      <c r="J5" s="2">
        <f t="shared" si="1"/>
        <v>14685.189999999999</v>
      </c>
      <c r="K5" s="2">
        <v>114501037.40000001</v>
      </c>
      <c r="L5" s="1">
        <f t="shared" si="2"/>
        <v>128.25377248503426</v>
      </c>
    </row>
    <row r="6" spans="1:13" x14ac:dyDescent="0.25">
      <c r="A6" s="1" t="s">
        <v>5</v>
      </c>
      <c r="B6" s="1">
        <v>2024</v>
      </c>
      <c r="C6" s="1">
        <v>1925</v>
      </c>
      <c r="D6" s="2">
        <v>6302.38</v>
      </c>
      <c r="E6" s="1">
        <v>6095</v>
      </c>
      <c r="F6" s="2">
        <v>625.41999999999996</v>
      </c>
      <c r="G6" s="1">
        <v>12515</v>
      </c>
      <c r="H6" s="2">
        <v>10696.02</v>
      </c>
      <c r="I6" s="1">
        <f t="shared" si="0"/>
        <v>20535</v>
      </c>
      <c r="J6" s="2">
        <f t="shared" si="1"/>
        <v>17623.82</v>
      </c>
      <c r="K6" s="2">
        <v>95238909.400000006</v>
      </c>
      <c r="L6" s="1">
        <f t="shared" si="2"/>
        <v>185.04852807564805</v>
      </c>
    </row>
    <row r="7" spans="1:13" x14ac:dyDescent="0.25">
      <c r="A7" s="1" t="s">
        <v>6</v>
      </c>
      <c r="B7" s="1">
        <v>2024</v>
      </c>
      <c r="C7" s="1">
        <v>2073</v>
      </c>
      <c r="D7" s="2">
        <v>4651.18</v>
      </c>
      <c r="E7" s="1">
        <v>17308</v>
      </c>
      <c r="F7" s="2">
        <v>1024.7</v>
      </c>
      <c r="G7" s="1">
        <v>6621</v>
      </c>
      <c r="H7" s="2">
        <v>3272.85</v>
      </c>
      <c r="I7" s="1">
        <f t="shared" si="0"/>
        <v>26002</v>
      </c>
      <c r="J7" s="2">
        <f t="shared" si="1"/>
        <v>8948.73</v>
      </c>
      <c r="K7" s="2">
        <v>96499284.900000006</v>
      </c>
      <c r="L7" s="1">
        <f t="shared" si="2"/>
        <v>92.733640557786131</v>
      </c>
    </row>
    <row r="8" spans="1:13" x14ac:dyDescent="0.25">
      <c r="A8" s="1" t="s">
        <v>7</v>
      </c>
      <c r="B8" s="1">
        <v>2024</v>
      </c>
      <c r="C8" s="1">
        <v>1480</v>
      </c>
      <c r="D8" s="2">
        <v>2751</v>
      </c>
      <c r="E8" s="1">
        <v>9643</v>
      </c>
      <c r="F8" s="2">
        <v>198.15</v>
      </c>
      <c r="G8" s="1">
        <v>5924</v>
      </c>
      <c r="H8" s="2">
        <v>1582.18</v>
      </c>
      <c r="I8" s="1">
        <f t="shared" si="0"/>
        <v>17047</v>
      </c>
      <c r="J8" s="2">
        <f t="shared" si="1"/>
        <v>4531.33</v>
      </c>
      <c r="K8" s="2">
        <v>66456461.600000001</v>
      </c>
      <c r="L8" s="1">
        <f t="shared" si="2"/>
        <v>68.184942305143721</v>
      </c>
    </row>
    <row r="9" spans="1:13" x14ac:dyDescent="0.25">
      <c r="A9" s="1" t="s">
        <v>8</v>
      </c>
      <c r="B9" s="1">
        <v>2024</v>
      </c>
      <c r="C9" s="1">
        <v>2012</v>
      </c>
      <c r="D9" s="2">
        <v>8001.82</v>
      </c>
      <c r="E9" s="1">
        <v>11519</v>
      </c>
      <c r="F9" s="2">
        <v>3484.22</v>
      </c>
      <c r="G9" s="1">
        <v>14668</v>
      </c>
      <c r="H9" s="2">
        <v>19414.77</v>
      </c>
      <c r="I9" s="1">
        <f t="shared" si="0"/>
        <v>28199</v>
      </c>
      <c r="J9" s="2">
        <f t="shared" si="1"/>
        <v>30900.809999999998</v>
      </c>
      <c r="K9" s="2">
        <v>54858863.799999997</v>
      </c>
      <c r="L9" s="1">
        <f t="shared" si="2"/>
        <v>563.27834482055016</v>
      </c>
    </row>
    <row r="10" spans="1:13" x14ac:dyDescent="0.25">
      <c r="A10" s="1" t="s">
        <v>9</v>
      </c>
      <c r="B10" s="1">
        <v>2024</v>
      </c>
      <c r="C10" s="1">
        <v>1540</v>
      </c>
      <c r="D10" s="2">
        <v>6341.4</v>
      </c>
      <c r="E10" s="1">
        <v>13404</v>
      </c>
      <c r="F10" s="2">
        <v>1372.65</v>
      </c>
      <c r="G10" s="1">
        <v>6123</v>
      </c>
      <c r="H10" s="2">
        <v>8032.62</v>
      </c>
      <c r="I10" s="1">
        <f t="shared" si="0"/>
        <v>21067</v>
      </c>
      <c r="J10" s="2">
        <f t="shared" si="1"/>
        <v>15746.669999999998</v>
      </c>
      <c r="K10" s="2">
        <v>84783138.5</v>
      </c>
      <c r="L10" s="1">
        <f t="shared" si="2"/>
        <v>185.72879323168721</v>
      </c>
    </row>
    <row r="11" spans="1:13" x14ac:dyDescent="0.25">
      <c r="A11" s="1" t="s">
        <v>10</v>
      </c>
      <c r="B11" s="1">
        <v>2024</v>
      </c>
      <c r="C11" s="1">
        <v>3137</v>
      </c>
      <c r="D11" s="2">
        <v>11449.2</v>
      </c>
      <c r="E11" s="1">
        <v>20099</v>
      </c>
      <c r="F11" s="2">
        <v>1246.43</v>
      </c>
      <c r="G11" s="1">
        <v>16907</v>
      </c>
      <c r="H11" s="2">
        <v>12721.17</v>
      </c>
      <c r="I11" s="1">
        <f t="shared" si="0"/>
        <v>40143</v>
      </c>
      <c r="J11" s="2">
        <f t="shared" si="1"/>
        <v>25416.800000000003</v>
      </c>
      <c r="K11" s="2">
        <v>126742019</v>
      </c>
      <c r="L11" s="1">
        <f t="shared" si="2"/>
        <v>200.53964896992846</v>
      </c>
    </row>
    <row r="12" spans="1:13" x14ac:dyDescent="0.25">
      <c r="A12" s="1" t="s">
        <v>11</v>
      </c>
      <c r="B12" s="1">
        <v>2024</v>
      </c>
      <c r="C12" s="1">
        <v>2451</v>
      </c>
      <c r="D12" s="2">
        <v>8415.5</v>
      </c>
      <c r="E12" s="1">
        <v>13905</v>
      </c>
      <c r="F12" s="2">
        <v>1175.68</v>
      </c>
      <c r="G12" s="1">
        <v>7209</v>
      </c>
      <c r="H12" s="2">
        <v>5835.02</v>
      </c>
      <c r="I12" s="1">
        <f t="shared" si="0"/>
        <v>23565</v>
      </c>
      <c r="J12" s="2">
        <f t="shared" si="1"/>
        <v>15426.2</v>
      </c>
      <c r="K12" s="2">
        <v>82790773</v>
      </c>
      <c r="L12" s="1">
        <f t="shared" si="2"/>
        <v>186.32752710256733</v>
      </c>
    </row>
    <row r="13" spans="1:13" x14ac:dyDescent="0.25">
      <c r="A13" s="1" t="s">
        <v>12</v>
      </c>
      <c r="B13" s="1">
        <v>2024</v>
      </c>
      <c r="C13" s="1">
        <v>2505</v>
      </c>
      <c r="D13" s="2">
        <v>10882.92</v>
      </c>
      <c r="E13" s="1">
        <v>15657</v>
      </c>
      <c r="F13" s="2">
        <v>616.52</v>
      </c>
      <c r="G13" s="1">
        <v>5221</v>
      </c>
      <c r="H13" s="2">
        <v>8256.9500000000007</v>
      </c>
      <c r="I13" s="1">
        <f t="shared" si="0"/>
        <v>23383</v>
      </c>
      <c r="J13" s="2">
        <f t="shared" si="1"/>
        <v>19756.39</v>
      </c>
      <c r="K13" s="2">
        <v>143017209.19999999</v>
      </c>
      <c r="L13" s="1">
        <f t="shared" si="2"/>
        <v>138.13994910481026</v>
      </c>
    </row>
    <row r="14" spans="1:13" x14ac:dyDescent="0.25">
      <c r="A14" s="1" t="s">
        <v>13</v>
      </c>
      <c r="B14" s="1">
        <v>2024</v>
      </c>
      <c r="C14" s="1">
        <v>2399</v>
      </c>
      <c r="D14" s="2">
        <v>6569.98</v>
      </c>
      <c r="E14" s="1">
        <v>13736</v>
      </c>
      <c r="F14" s="2">
        <v>225.33</v>
      </c>
      <c r="G14" s="1">
        <v>5869</v>
      </c>
      <c r="H14" s="2">
        <v>4318.38</v>
      </c>
      <c r="I14" s="1">
        <f t="shared" si="0"/>
        <v>22004</v>
      </c>
      <c r="J14" s="2">
        <f t="shared" si="1"/>
        <v>11113.689999999999</v>
      </c>
      <c r="K14" s="2">
        <v>64636139.600000001</v>
      </c>
      <c r="L14" s="1">
        <f t="shared" si="2"/>
        <v>171.9423540572958</v>
      </c>
    </row>
    <row r="15" spans="1:13" x14ac:dyDescent="0.25">
      <c r="A15" s="1" t="s">
        <v>14</v>
      </c>
      <c r="B15" s="1">
        <v>2024</v>
      </c>
      <c r="C15" s="1">
        <v>6609</v>
      </c>
      <c r="D15" s="2">
        <v>17698.47</v>
      </c>
      <c r="E15" s="1">
        <v>20135</v>
      </c>
      <c r="F15" s="2">
        <v>1236.78</v>
      </c>
      <c r="G15" s="1">
        <v>5913</v>
      </c>
      <c r="H15" s="2">
        <v>6514.7</v>
      </c>
      <c r="I15" s="1">
        <f t="shared" si="0"/>
        <v>32657</v>
      </c>
      <c r="J15" s="2">
        <f t="shared" si="1"/>
        <v>25449.95</v>
      </c>
      <c r="K15" s="2">
        <v>110480514.40000001</v>
      </c>
      <c r="L15" s="1">
        <f t="shared" si="2"/>
        <v>230.35691079294975</v>
      </c>
    </row>
    <row r="16" spans="1:13" x14ac:dyDescent="0.25">
      <c r="A16" s="1" t="s">
        <v>15</v>
      </c>
      <c r="B16" s="1">
        <v>2024</v>
      </c>
      <c r="C16" s="1">
        <v>8243</v>
      </c>
      <c r="D16" s="2">
        <v>47143.53</v>
      </c>
      <c r="E16" s="1">
        <v>28061</v>
      </c>
      <c r="F16" s="2">
        <v>5113.75</v>
      </c>
      <c r="G16" s="1">
        <v>17467</v>
      </c>
      <c r="H16" s="2">
        <v>20096.849999999999</v>
      </c>
      <c r="I16" s="1">
        <f t="shared" si="0"/>
        <v>53771</v>
      </c>
      <c r="J16" s="2">
        <f t="shared" si="1"/>
        <v>72354.13</v>
      </c>
      <c r="K16" s="2">
        <v>140816626.5</v>
      </c>
      <c r="L16" s="1">
        <f t="shared" si="2"/>
        <v>513.8180895137408</v>
      </c>
    </row>
    <row r="17" spans="1:12" x14ac:dyDescent="0.25">
      <c r="A17" s="1" t="s">
        <v>16</v>
      </c>
      <c r="B17" s="1">
        <v>2024</v>
      </c>
      <c r="C17" s="1">
        <v>8036</v>
      </c>
      <c r="D17" s="2">
        <v>42086.42</v>
      </c>
      <c r="E17" s="1">
        <v>14423</v>
      </c>
      <c r="F17" s="2">
        <v>1186.23</v>
      </c>
      <c r="G17" s="1">
        <v>17814</v>
      </c>
      <c r="H17" s="2">
        <v>14650</v>
      </c>
      <c r="I17" s="1">
        <f t="shared" si="0"/>
        <v>40273</v>
      </c>
      <c r="J17" s="2">
        <f t="shared" si="1"/>
        <v>57922.65</v>
      </c>
      <c r="K17" s="2">
        <v>115551648.90000001</v>
      </c>
      <c r="L17" s="1">
        <f t="shared" si="2"/>
        <v>501.27064867873122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Р</dc:creator>
  <cp:lastModifiedBy>Иван Р</cp:lastModifiedBy>
  <dcterms:created xsi:type="dcterms:W3CDTF">2015-06-05T18:19:34Z</dcterms:created>
  <dcterms:modified xsi:type="dcterms:W3CDTF">2026-04-14T09:39:32Z</dcterms:modified>
</cp:coreProperties>
</file>