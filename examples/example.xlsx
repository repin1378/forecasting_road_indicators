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_iva\Desktop\REPO\forecasting_road_indicators\examples\"/>
    </mc:Choice>
  </mc:AlternateContent>
  <xr:revisionPtr revIDLastSave="0" documentId="13_ncr:1_{720056CD-58C4-469E-A88C-3D6EDFF1C146}" xr6:coauthVersionLast="47" xr6:coauthVersionMax="47" xr10:uidLastSave="{00000000-0000-0000-0000-000000000000}"/>
  <bookViews>
    <workbookView xWindow="1260" yWindow="1755" windowWidth="28800" windowHeight="1534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2" i="1"/>
  <c r="J17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</calcChain>
</file>

<file path=xl/sharedStrings.xml><?xml version="1.0" encoding="utf-8"?>
<sst xmlns="http://schemas.openxmlformats.org/spreadsheetml/2006/main" count="29" uniqueCount="29">
  <si>
    <t>ROAD_NAME</t>
  </si>
  <si>
    <t>Октябрьская</t>
  </si>
  <si>
    <t>Калининградская</t>
  </si>
  <si>
    <t>Московская</t>
  </si>
  <si>
    <t>Горьковская</t>
  </si>
  <si>
    <t>Северная</t>
  </si>
  <si>
    <t>Северо-Кавказская</t>
  </si>
  <si>
    <t>Юго-Восточная</t>
  </si>
  <si>
    <t>Приволжская</t>
  </si>
  <si>
    <t>Куйбышевская</t>
  </si>
  <si>
    <t>Свердловская</t>
  </si>
  <si>
    <t>Южно-Уральская</t>
  </si>
  <si>
    <t>Западно-Сибирская</t>
  </si>
  <si>
    <t>Красноярская</t>
  </si>
  <si>
    <t>Восточно-Сибирская</t>
  </si>
  <si>
    <t>Забайкальская</t>
  </si>
  <si>
    <t>Дальневосточная</t>
  </si>
  <si>
    <t>YEAR</t>
  </si>
  <si>
    <t>MONTH</t>
  </si>
  <si>
    <t>TRAIN_KM</t>
  </si>
  <si>
    <t>LOSS_12_COUNT</t>
  </si>
  <si>
    <t>LOSS_12_SUM</t>
  </si>
  <si>
    <t>LOSS_3_COUNT</t>
  </si>
  <si>
    <t>LOSS_3_SUM</t>
  </si>
  <si>
    <t>LOSS_TECH_COUNT</t>
  </si>
  <si>
    <t>LOSS_TECH_SUM</t>
  </si>
  <si>
    <t>LOSS_COUNT_TOTAL</t>
  </si>
  <si>
    <t>LOSS_SUM_TOTAL</t>
  </si>
  <si>
    <t>SPECIFIC_LOSS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</si>
</sst>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J2" sqref="J2"/>
    </sheetView>
  </sheetViews>
  <sheetFormatPr defaultRowHeight="15" x14ac:dyDescent="0.25"/>
  <cols>
    <col min="1" max="1" width="23.7109375" customWidth="1"/>
    <col min="2" max="2" width="18.28515625" customWidth="1"/>
    <col min="3" max="3" width="21.7109375" style="1" customWidth="1"/>
    <col min="4" max="5" width="18.28515625" customWidth="1"/>
    <col min="6" max="6" width="18.42578125" customWidth="1"/>
    <col min="7" max="7" width="18" customWidth="1"/>
    <col min="8" max="8" width="18.42578125" customWidth="1"/>
    <col min="9" max="9" width="18.28515625" customWidth="1"/>
    <col min="10" max="10" width="24.42578125" customWidth="1"/>
    <col min="11" max="11" width="28.140625" customWidth="1"/>
    <col min="12" max="12" width="17.7109375" customWidth="1"/>
    <col min="13" max="13" width="17.85546875" style="1" customWidth="1"/>
  </cols>
  <sheetData>
    <row r="1" spans="1:14" x14ac:dyDescent="0.25">
      <c r="A1" s="1" t="s">
        <v>0</v>
      </c>
      <c r="B1" s="1" t="s">
        <v>17</v>
      </c>
      <c r="C1" s="1" t="s">
        <v>18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19</v>
      </c>
      <c r="M1" s="1" t="s">
        <v>28</v>
      </c>
      <c r="N1" s="1"/>
    </row>
    <row r="2" spans="1:14" x14ac:dyDescent="0.25">
      <c r="A2" s="1" t="s">
        <v>1</v>
      </c>
      <c r="B2" s="1">
        <v>2022</v>
      </c>
      <c r="C2" s="1">
        <v>1</v>
      </c>
      <c r="D2" s="1">
        <v>281</v>
      </c>
      <c r="E2" s="2">
        <v>808.72</v>
      </c>
      <c r="F2" s="1">
        <v>281</v>
      </c>
      <c r="G2" s="2">
        <v>808.72</v>
      </c>
      <c r="H2" s="1">
        <v>281</v>
      </c>
      <c r="I2" s="1">
        <v>281</v>
      </c>
      <c r="J2" s="1">
        <f>$D2+$F2+$H2</f>
        <v>843</v>
      </c>
      <c r="K2" s="2">
        <f>$E2+$G2+$I2</f>
        <v>1898.44</v>
      </c>
      <c r="L2" s="3">
        <v>12935174.390000001</v>
      </c>
      <c r="M2" s="1">
        <f>$K2/$L2*1000000</f>
        <v>146.76570587773884</v>
      </c>
    </row>
    <row r="3" spans="1:14" x14ac:dyDescent="0.25">
      <c r="A3" s="1" t="s">
        <v>2</v>
      </c>
      <c r="B3" s="1">
        <v>2022</v>
      </c>
      <c r="C3" s="1">
        <v>2</v>
      </c>
      <c r="D3" s="1">
        <v>6</v>
      </c>
      <c r="E3" s="2">
        <v>7.05</v>
      </c>
      <c r="F3" s="1">
        <v>6</v>
      </c>
      <c r="G3" s="2">
        <v>7.05</v>
      </c>
      <c r="H3" s="1">
        <v>6</v>
      </c>
      <c r="I3" s="1">
        <v>6</v>
      </c>
      <c r="J3" s="1">
        <f t="shared" ref="J2:J17" si="0">$D3+$F3+$H3</f>
        <v>18</v>
      </c>
      <c r="K3" s="2">
        <f t="shared" ref="K3:K17" si="1">$E3+$G3+$I3</f>
        <v>20.100000000000001</v>
      </c>
      <c r="L3" s="3">
        <v>206002.77499999999</v>
      </c>
      <c r="M3" s="1">
        <f t="shared" ref="M3:M17" si="2">$K3/$L3*1000000</f>
        <v>97.571501160603304</v>
      </c>
    </row>
    <row r="4" spans="1:14" x14ac:dyDescent="0.25">
      <c r="A4" s="1" t="s">
        <v>3</v>
      </c>
      <c r="B4" s="1">
        <v>2022</v>
      </c>
      <c r="C4" s="1">
        <v>3</v>
      </c>
      <c r="D4" s="1">
        <v>292</v>
      </c>
      <c r="E4" s="2">
        <v>797.87</v>
      </c>
      <c r="F4" s="1">
        <v>292</v>
      </c>
      <c r="G4" s="2">
        <v>797.87</v>
      </c>
      <c r="H4" s="1">
        <v>292</v>
      </c>
      <c r="I4" s="1">
        <v>292</v>
      </c>
      <c r="J4" s="1">
        <f t="shared" si="0"/>
        <v>876</v>
      </c>
      <c r="K4" s="2">
        <f t="shared" si="1"/>
        <v>1887.74</v>
      </c>
      <c r="L4" s="3">
        <v>15973962.51</v>
      </c>
      <c r="M4" s="1">
        <f t="shared" si="2"/>
        <v>118.17606300366859</v>
      </c>
    </row>
    <row r="5" spans="1:14" x14ac:dyDescent="0.25">
      <c r="A5" s="1" t="s">
        <v>4</v>
      </c>
      <c r="B5" s="1">
        <v>2022</v>
      </c>
      <c r="C5" s="1">
        <v>4</v>
      </c>
      <c r="D5" s="1">
        <v>172</v>
      </c>
      <c r="E5" s="2">
        <v>463.62</v>
      </c>
      <c r="F5" s="1">
        <v>172</v>
      </c>
      <c r="G5" s="2">
        <v>463.62</v>
      </c>
      <c r="H5" s="1">
        <v>172</v>
      </c>
      <c r="I5" s="1">
        <v>172</v>
      </c>
      <c r="J5" s="1">
        <f t="shared" si="0"/>
        <v>516</v>
      </c>
      <c r="K5" s="2">
        <f t="shared" si="1"/>
        <v>1099.24</v>
      </c>
      <c r="L5" s="3">
        <v>9541753.1170000006</v>
      </c>
      <c r="M5" s="1">
        <f t="shared" si="2"/>
        <v>115.20314836500501</v>
      </c>
    </row>
    <row r="6" spans="1:14" x14ac:dyDescent="0.25">
      <c r="A6" s="1" t="s">
        <v>5</v>
      </c>
      <c r="B6" s="1">
        <v>2022</v>
      </c>
      <c r="C6" s="1">
        <v>5</v>
      </c>
      <c r="D6" s="1">
        <v>177</v>
      </c>
      <c r="E6" s="2">
        <v>601.38</v>
      </c>
      <c r="F6" s="1">
        <v>177</v>
      </c>
      <c r="G6" s="2">
        <v>601.38</v>
      </c>
      <c r="H6" s="1">
        <v>177</v>
      </c>
      <c r="I6" s="1">
        <v>177</v>
      </c>
      <c r="J6" s="1">
        <f t="shared" si="0"/>
        <v>531</v>
      </c>
      <c r="K6" s="2">
        <f t="shared" si="1"/>
        <v>1379.76</v>
      </c>
      <c r="L6" s="3">
        <v>7936575.7829999998</v>
      </c>
      <c r="M6" s="1">
        <f t="shared" si="2"/>
        <v>173.84827383056313</v>
      </c>
    </row>
    <row r="7" spans="1:14" x14ac:dyDescent="0.25">
      <c r="A7" s="1" t="s">
        <v>6</v>
      </c>
      <c r="B7" s="1">
        <v>2022</v>
      </c>
      <c r="C7" s="1">
        <v>6</v>
      </c>
      <c r="D7" s="1">
        <v>136</v>
      </c>
      <c r="E7" s="2">
        <v>278.25</v>
      </c>
      <c r="F7" s="1">
        <v>136</v>
      </c>
      <c r="G7" s="2">
        <v>278.25</v>
      </c>
      <c r="H7" s="1">
        <v>136</v>
      </c>
      <c r="I7" s="1">
        <v>136</v>
      </c>
      <c r="J7" s="1">
        <f t="shared" si="0"/>
        <v>408</v>
      </c>
      <c r="K7" s="2">
        <f t="shared" si="1"/>
        <v>692.5</v>
      </c>
      <c r="L7" s="3">
        <v>8041607.0750000002</v>
      </c>
      <c r="M7" s="1">
        <f t="shared" si="2"/>
        <v>86.114627777930821</v>
      </c>
    </row>
    <row r="8" spans="1:14" x14ac:dyDescent="0.25">
      <c r="A8" s="1" t="s">
        <v>7</v>
      </c>
      <c r="B8" s="1">
        <v>2022</v>
      </c>
      <c r="C8" s="1">
        <v>7</v>
      </c>
      <c r="D8" s="1">
        <v>99</v>
      </c>
      <c r="E8" s="2">
        <v>194.85</v>
      </c>
      <c r="F8" s="1">
        <v>99</v>
      </c>
      <c r="G8" s="2">
        <v>194.85</v>
      </c>
      <c r="H8" s="1">
        <v>99</v>
      </c>
      <c r="I8" s="1">
        <v>99</v>
      </c>
      <c r="J8" s="1">
        <f t="shared" si="0"/>
        <v>297</v>
      </c>
      <c r="K8" s="2">
        <f t="shared" si="1"/>
        <v>488.7</v>
      </c>
      <c r="L8" s="3">
        <v>5538038.4670000002</v>
      </c>
      <c r="M8" s="1">
        <f t="shared" si="2"/>
        <v>88.244240792486352</v>
      </c>
    </row>
    <row r="9" spans="1:14" x14ac:dyDescent="0.25">
      <c r="A9" s="1" t="s">
        <v>8</v>
      </c>
      <c r="B9" s="1">
        <v>2022</v>
      </c>
      <c r="C9" s="1">
        <v>8</v>
      </c>
      <c r="D9" s="1">
        <v>173</v>
      </c>
      <c r="E9" s="2">
        <v>491.27</v>
      </c>
      <c r="F9" s="1">
        <v>173</v>
      </c>
      <c r="G9" s="2">
        <v>491.27</v>
      </c>
      <c r="H9" s="1">
        <v>173</v>
      </c>
      <c r="I9" s="1">
        <v>173</v>
      </c>
      <c r="J9" s="1">
        <f t="shared" si="0"/>
        <v>519</v>
      </c>
      <c r="K9" s="2">
        <f t="shared" si="1"/>
        <v>1155.54</v>
      </c>
      <c r="L9" s="3">
        <v>4571571.983</v>
      </c>
      <c r="M9" s="1">
        <f t="shared" si="2"/>
        <v>252.76644539275102</v>
      </c>
    </row>
    <row r="10" spans="1:14" x14ac:dyDescent="0.25">
      <c r="A10" s="1" t="s">
        <v>9</v>
      </c>
      <c r="B10" s="1">
        <v>2022</v>
      </c>
      <c r="C10" s="1">
        <v>1</v>
      </c>
      <c r="D10" s="1">
        <v>144</v>
      </c>
      <c r="E10" s="2">
        <v>387.2</v>
      </c>
      <c r="F10" s="1">
        <v>144</v>
      </c>
      <c r="G10" s="2">
        <v>387.2</v>
      </c>
      <c r="H10" s="1">
        <v>144</v>
      </c>
      <c r="I10" s="1">
        <v>144</v>
      </c>
      <c r="J10" s="1">
        <f t="shared" si="0"/>
        <v>432</v>
      </c>
      <c r="K10" s="2">
        <f t="shared" si="1"/>
        <v>918.4</v>
      </c>
      <c r="L10" s="3">
        <v>7065261.5420000004</v>
      </c>
      <c r="M10" s="1">
        <f t="shared" si="2"/>
        <v>129.98811077841907</v>
      </c>
    </row>
    <row r="11" spans="1:14" x14ac:dyDescent="0.25">
      <c r="A11" s="1" t="s">
        <v>10</v>
      </c>
      <c r="B11" s="1">
        <v>2022</v>
      </c>
      <c r="C11" s="1">
        <v>2</v>
      </c>
      <c r="D11" s="1">
        <v>184</v>
      </c>
      <c r="E11" s="2">
        <v>660.82</v>
      </c>
      <c r="F11" s="1">
        <v>184</v>
      </c>
      <c r="G11" s="2">
        <v>660.82</v>
      </c>
      <c r="H11" s="1">
        <v>184</v>
      </c>
      <c r="I11" s="1">
        <v>184</v>
      </c>
      <c r="J11" s="1">
        <f t="shared" si="0"/>
        <v>552</v>
      </c>
      <c r="K11" s="2">
        <f t="shared" si="1"/>
        <v>1505.64</v>
      </c>
      <c r="L11" s="3">
        <v>10561834.92</v>
      </c>
      <c r="M11" s="1">
        <f t="shared" si="2"/>
        <v>142.55477494245861</v>
      </c>
    </row>
    <row r="12" spans="1:14" x14ac:dyDescent="0.25">
      <c r="A12" s="1" t="s">
        <v>11</v>
      </c>
      <c r="B12" s="1">
        <v>2022</v>
      </c>
      <c r="C12" s="1">
        <v>3</v>
      </c>
      <c r="D12" s="1">
        <v>176</v>
      </c>
      <c r="E12" s="2">
        <v>450.55</v>
      </c>
      <c r="F12" s="1">
        <v>176</v>
      </c>
      <c r="G12" s="2">
        <v>450.55</v>
      </c>
      <c r="H12" s="1">
        <v>176</v>
      </c>
      <c r="I12" s="1">
        <v>176</v>
      </c>
      <c r="J12" s="1">
        <f t="shared" si="0"/>
        <v>528</v>
      </c>
      <c r="K12" s="2">
        <f t="shared" si="1"/>
        <v>1077.0999999999999</v>
      </c>
      <c r="L12" s="3">
        <v>6899231.0829999996</v>
      </c>
      <c r="M12" s="1">
        <f t="shared" si="2"/>
        <v>156.11884672974941</v>
      </c>
    </row>
    <row r="13" spans="1:14" x14ac:dyDescent="0.25">
      <c r="A13" s="1" t="s">
        <v>12</v>
      </c>
      <c r="B13" s="1">
        <v>2022</v>
      </c>
      <c r="C13" s="1">
        <v>4</v>
      </c>
      <c r="D13" s="1">
        <v>282</v>
      </c>
      <c r="E13" s="2">
        <v>1424.27</v>
      </c>
      <c r="F13" s="1">
        <v>282</v>
      </c>
      <c r="G13" s="2">
        <v>1424.27</v>
      </c>
      <c r="H13" s="1">
        <v>282</v>
      </c>
      <c r="I13" s="1">
        <v>282</v>
      </c>
      <c r="J13" s="1">
        <f t="shared" si="0"/>
        <v>846</v>
      </c>
      <c r="K13" s="2">
        <f t="shared" si="1"/>
        <v>3130.54</v>
      </c>
      <c r="L13" s="3">
        <v>11918100.77</v>
      </c>
      <c r="M13" s="1">
        <f t="shared" si="2"/>
        <v>262.67104637008367</v>
      </c>
    </row>
    <row r="14" spans="1:14" x14ac:dyDescent="0.25">
      <c r="A14" s="1" t="s">
        <v>13</v>
      </c>
      <c r="B14" s="1">
        <v>2022</v>
      </c>
      <c r="C14" s="1">
        <v>5</v>
      </c>
      <c r="D14" s="1">
        <v>120</v>
      </c>
      <c r="E14" s="2">
        <v>432.77</v>
      </c>
      <c r="F14" s="1">
        <v>120</v>
      </c>
      <c r="G14" s="2">
        <v>432.77</v>
      </c>
      <c r="H14" s="1">
        <v>120</v>
      </c>
      <c r="I14" s="1">
        <v>120</v>
      </c>
      <c r="J14" s="1">
        <f t="shared" si="0"/>
        <v>360</v>
      </c>
      <c r="K14" s="2">
        <f t="shared" si="1"/>
        <v>985.54</v>
      </c>
      <c r="L14" s="3">
        <v>5386344.9670000002</v>
      </c>
      <c r="M14" s="1">
        <f t="shared" si="2"/>
        <v>182.97008565883039</v>
      </c>
    </row>
    <row r="15" spans="1:14" x14ac:dyDescent="0.25">
      <c r="A15" s="1" t="s">
        <v>14</v>
      </c>
      <c r="B15" s="1">
        <v>2022</v>
      </c>
      <c r="C15" s="1">
        <v>6</v>
      </c>
      <c r="D15" s="1">
        <v>273</v>
      </c>
      <c r="E15" s="2">
        <v>1164.5</v>
      </c>
      <c r="F15" s="1">
        <v>273</v>
      </c>
      <c r="G15" s="2">
        <v>1164.5</v>
      </c>
      <c r="H15" s="1">
        <v>273</v>
      </c>
      <c r="I15" s="1">
        <v>273</v>
      </c>
      <c r="J15" s="1">
        <f t="shared" si="0"/>
        <v>819</v>
      </c>
      <c r="K15" s="2">
        <f t="shared" si="1"/>
        <v>2602</v>
      </c>
      <c r="L15" s="3">
        <v>9206709.5329999998</v>
      </c>
      <c r="M15" s="1">
        <f t="shared" si="2"/>
        <v>282.61997303961209</v>
      </c>
    </row>
    <row r="16" spans="1:14" x14ac:dyDescent="0.25">
      <c r="A16" s="1" t="s">
        <v>15</v>
      </c>
      <c r="B16" s="1">
        <v>2022</v>
      </c>
      <c r="C16" s="1">
        <v>7</v>
      </c>
      <c r="D16" s="1">
        <v>225</v>
      </c>
      <c r="E16" s="2">
        <v>8566.15</v>
      </c>
      <c r="F16" s="1">
        <v>225</v>
      </c>
      <c r="G16" s="2">
        <v>8566.15</v>
      </c>
      <c r="H16" s="1">
        <v>225</v>
      </c>
      <c r="I16" s="1">
        <v>225</v>
      </c>
      <c r="J16" s="1">
        <f t="shared" si="0"/>
        <v>675</v>
      </c>
      <c r="K16" s="2">
        <f t="shared" si="1"/>
        <v>17357.3</v>
      </c>
      <c r="L16" s="3">
        <v>11734718.880000001</v>
      </c>
      <c r="M16" s="1">
        <f t="shared" si="2"/>
        <v>1479.1406745655247</v>
      </c>
    </row>
    <row r="17" spans="1:13" x14ac:dyDescent="0.25">
      <c r="A17" s="1" t="s">
        <v>16</v>
      </c>
      <c r="B17" s="1">
        <v>2022</v>
      </c>
      <c r="C17" s="1">
        <v>8</v>
      </c>
      <c r="D17" s="1">
        <v>345</v>
      </c>
      <c r="E17" s="2">
        <v>1417.95</v>
      </c>
      <c r="F17" s="1">
        <v>345</v>
      </c>
      <c r="G17" s="2">
        <v>1417.95</v>
      </c>
      <c r="H17" s="1">
        <v>345</v>
      </c>
      <c r="I17" s="1">
        <v>345</v>
      </c>
      <c r="J17" s="1">
        <f t="shared" si="0"/>
        <v>1035</v>
      </c>
      <c r="K17" s="2">
        <f t="shared" si="1"/>
        <v>3180.9</v>
      </c>
      <c r="L17" s="3">
        <v>9629304.0749999993</v>
      </c>
      <c r="M17" s="1">
        <f t="shared" si="2"/>
        <v>330.33539861498252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Р</dc:creator>
  <cp:lastModifiedBy>Иван Р</cp:lastModifiedBy>
  <dcterms:created xsi:type="dcterms:W3CDTF">2015-06-05T18:19:34Z</dcterms:created>
  <dcterms:modified xsi:type="dcterms:W3CDTF">2026-04-14T09:53:21Z</dcterms:modified>
</cp:coreProperties>
</file>